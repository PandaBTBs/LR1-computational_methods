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iril\OneDrive\Рабочий стол\ВычМ\"/>
    </mc:Choice>
  </mc:AlternateContent>
  <xr:revisionPtr revIDLastSave="0" documentId="13_ncr:1_{A816ED79-44F2-4DF5-9D3E-48B59592B714}" xr6:coauthVersionLast="47" xr6:coauthVersionMax="47" xr10:uidLastSave="{00000000-0000-0000-0000-000000000000}"/>
  <bookViews>
    <workbookView xWindow="-120" yWindow="-120" windowWidth="28065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 a="1"/>
  <c r="B12" i="1" s="1"/>
  <c r="B13" i="1" a="1"/>
  <c r="B13" i="1" s="1"/>
  <c r="G8" i="1"/>
  <c r="G7" i="1"/>
  <c r="C10" i="1"/>
  <c r="D10" i="1"/>
  <c r="E10" i="1"/>
  <c r="F10" i="1"/>
  <c r="B10" i="1"/>
  <c r="G10" i="1" s="1"/>
  <c r="F9" i="1"/>
  <c r="B9" i="1"/>
  <c r="C9" i="1"/>
  <c r="D9" i="1"/>
  <c r="E9" i="1"/>
  <c r="G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<sst xmlns="http://schemas.openxmlformats.org/spreadsheetml/2006/main" count="6" uniqueCount="6">
  <si>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x_i</t>
  </si>
  <si>
    <t>y_i</t>
  </si>
  <si>
    <t>(x_i)^2</t>
  </si>
  <si>
    <t>x_i*y_i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</si>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</sst>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025371828521436E-2"/>
          <c:y val="5.0925925925925923E-2"/>
          <c:w val="0.9091968503937008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1994750656168"/>
                  <c:y val="-0.333393846602508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Лист1!$B$7:$F$7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Лист1!$B$8:$F$8</c:f>
              <c:numCache>
                <c:formatCode>General</c:formatCode>
                <c:ptCount val="5"/>
                <c:pt idx="0">
                  <c:v>5.3</c:v>
                </c:pt>
                <c:pt idx="1">
                  <c:v>6.3</c:v>
                </c:pt>
                <c:pt idx="2">
                  <c:v>4.8</c:v>
                </c:pt>
                <c:pt idx="3">
                  <c:v>3.8</c:v>
                </c:pt>
                <c:pt idx="4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B-4366-9467-70BBD1D69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74848"/>
        <c:axId val="131673600"/>
      </c:scatterChart>
      <c:valAx>
        <c:axId val="13167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673600"/>
        <c:crosses val="autoZero"/>
        <c:crossBetween val="midCat"/>
      </c:valAx>
      <c:valAx>
        <c:axId val="13167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67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423862</xdr:colOff>
      <xdr:row>5</xdr:row>
      <xdr:rowOff>19050</xdr:rowOff>
    </xdr:from>
    <xdr:ext cx="2424113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5D7D20-6DF6-4BFC-8CB7-177596B98DB5}"/>
            </a:ext>
          </a:extLst>
        </xdr:cNvPr>
        <xdr:cNvSpPr txBox="1"/>
      </xdr:nvSpPr>
      <xdr:spPr>
        <a:xfrm>
          <a:off x="1033462" y="971550"/>
          <a:ext cx="2424113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76200</xdr:colOff>
      <xdr:row>15</xdr:row>
      <xdr:rowOff>133350</xdr:rowOff>
    </xdr:from>
    <xdr:ext cx="1827039" cy="88806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42AB207-D538-40FF-A3B3-30466A57B1CB}"/>
                </a:ext>
              </a:extLst>
            </xdr:cNvPr>
            <xdr:cNvSpPr txBox="1"/>
          </xdr:nvSpPr>
          <xdr:spPr>
            <a:xfrm>
              <a:off x="76200" y="2990850"/>
              <a:ext cx="1827039" cy="888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Sup>
                                  <m:sSub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=</m:t>
                                    </m:r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sSub>
                                          <m:sSub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𝑥</m:t>
                                            </m:r>
                                          </m:e>
                                          <m:sub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  <m:sSub>
                                          <m:sSubPr>
                                            <m:ctrlP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b>
                                            <m:r>
                                              <a:rPr lang="en-US" sz="1100" b="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nary>
                                  </m:e>
                                </m:nary>
                              </m:e>
                            </m:nary>
                          </m:e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b>
                                  <m:sSub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𝑏𝑛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b>
                                      <m:sSubPr>
                                        <m:ctrlP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sz="1100" b="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</m:e>
                                </m:nary>
                              </m:e>
                            </m:nary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42AB207-D538-40FF-A3B3-30466A57B1CB}"/>
                </a:ext>
              </a:extLst>
            </xdr:cNvPr>
            <xdr:cNvSpPr txBox="1"/>
          </xdr:nvSpPr>
          <xdr:spPr>
            <a:xfrm>
              <a:off x="76200" y="2990850"/>
              <a:ext cx="1827039" cy="8880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𝑎∑▒〖𝑥_𝑖^2+𝑏∑▒〖𝑥_𝑖=∑▒〖𝑥_𝑖 𝑦_𝑖 〗〗〗</a:t>
              </a:r>
              <a:r>
                <a:rPr lang="ru-RU" sz="1100" b="0" i="0">
                  <a:latin typeface="Cambria Math" panose="02040503050406030204" pitchFamily="18" charset="0"/>
                </a:rPr>
                <a:t>@</a:t>
              </a:r>
              <a:r>
                <a:rPr lang="en-US" sz="1100" b="0" i="0">
                  <a:latin typeface="Cambria Math" panose="02040503050406030204" pitchFamily="18" charset="0"/>
                </a:rPr>
                <a:t>𝑎∑▒〖𝑥_𝑖+𝑏𝑛=∑▒𝑦_𝑖 〗</a:t>
              </a:r>
              <a:r>
                <a:rPr lang="ru-RU" sz="1100" b="0" i="0">
                  <a:latin typeface="Cambria Math" panose="02040503050406030204" pitchFamily="18" charset="0"/>
                </a:rPr>
                <a:t>)┤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13</xdr:col>
      <xdr:colOff>223837</xdr:colOff>
      <xdr:row>20</xdr:row>
      <xdr:rowOff>123825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65FB0A5-321C-478A-A367-1AA33C94597D}"/>
            </a:ext>
          </a:extLst>
        </xdr:cNvPr>
        <xdr:cNvSpPr txBox="1"/>
      </xdr:nvSpPr>
      <xdr:spPr>
        <a:xfrm>
          <a:off x="8148637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5</xdr:col>
      <xdr:colOff>23812</xdr:colOff>
      <xdr:row>13</xdr:row>
      <xdr:rowOff>61912</xdr:rowOff>
    </xdr:from>
    <xdr:to>
      <xdr:col>12</xdr:col>
      <xdr:colOff>328612</xdr:colOff>
      <xdr:row>27</xdr:row>
      <xdr:rowOff>138112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650934D-FAE8-4F5F-9AD7-51B317A68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500062</xdr:colOff>
      <xdr:row>11</xdr:row>
      <xdr:rowOff>95250</xdr:rowOff>
    </xdr:from>
    <xdr:ext cx="93884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7AF8918-B85C-44CD-AFBB-0E11224556F5}"/>
                </a:ext>
              </a:extLst>
            </xdr:cNvPr>
            <xdr:cNvSpPr txBox="1"/>
          </xdr:nvSpPr>
          <xdr:spPr>
            <a:xfrm>
              <a:off x="1719262" y="2190750"/>
              <a:ext cx="9388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𝑎𝑥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7AF8918-B85C-44CD-AFBB-0E11224556F5}"/>
                </a:ext>
              </a:extLst>
            </xdr:cNvPr>
            <xdr:cNvSpPr txBox="1"/>
          </xdr:nvSpPr>
          <xdr:spPr>
            <a:xfrm>
              <a:off x="1719262" y="2190750"/>
              <a:ext cx="93884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𝑓(𝑥_𝑖 )=𝑎𝑥+𝑏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G13"/>
  <sheetViews>
    <sheetView tabSelected="1" topLeftCell="A6" workbookViewId="0">
      <selection activeCell="P13" sqref="P13"/>
    </sheetView>
  </sheetViews>
  <sheetFormatPr defaultRowHeight="15"/>
  <sheetData>
    <row r="7" spans="1:7">
      <c r="A7" t="s">
        <v>0</v>
      </c>
      <c r="B7">
        <v>1</v>
      </c>
      <c r="C7">
        <v>2</v>
      </c>
      <c r="D7">
        <v>3</v>
      </c>
      <c r="E7">
        <v>4</v>
      </c>
      <c r="F7">
        <v>5</v>
      </c>
      <c r="G7">
        <f>SUM(B7:F7)</f>
        <v>15</v>
      </c>
    </row>
    <row r="8" spans="1:7">
      <c r="A8" t="s">
        <v>1</v>
      </c>
      <c r="B8">
        <v>5.3</v>
      </c>
      <c r="C8">
        <v>6.3</v>
      </c>
      <c r="D8">
        <v>4.8</v>
      </c>
      <c r="E8">
        <v>3.8</v>
      </c>
      <c r="F8">
        <v>3.3</v>
      </c>
      <c r="G8">
        <f>SUM(B8:F8)</f>
        <v>23.5</v>
      </c>
    </row>
    <row r="9" spans="1:7">
      <c r="A9" t="s">
        <v>2</v>
      </c>
      <c r="B9">
        <f>B7*B7</f>
        <v>1</v>
      </c>
      <c r="C9">
        <f>C7*C7</f>
        <v>4</v>
      </c>
      <c r="D9">
        <f>D7*D7</f>
        <v>9</v>
      </c>
      <c r="E9">
        <f>E7*E7</f>
        <v>16</v>
      </c>
      <c r="F9">
        <f>F7*F7</f>
        <v>25</v>
      </c>
      <c r="G9">
        <f>SUM(B9:F9)</f>
        <v>55</v>
      </c>
    </row>
    <row r="10" spans="1:7">
      <c r="A10" t="s">
        <v>3</v>
      </c>
      <c r="B10">
        <f>B7*B8</f>
        <v>5.3</v>
      </c>
      <c r="C10">
        <f t="shared" ref="C10:F10" si="0">C7*C8</f>
        <v>12.6</v>
      </c>
      <c r="D10">
        <f t="shared" si="0"/>
        <v>14.399999999999999</v>
      </c>
      <c r="E10">
        <f t="shared" si="0"/>
        <v>15.2</v>
      </c>
      <c r="F10">
        <f t="shared" si="0"/>
        <v>16.5</v>
      </c>
      <c r="G10">
        <f>SUM(B10:F10)</f>
        <v>64</v>
      </c>
    </row>
    <row r="12" spans="1:7">
      <c r="A12" t="s">
        <v>4</v>
      </c>
      <c r="B12" s="1" cm="1">
        <f t="array" ref="B12">INDEX(LINEST(B8:F8, B7:F7),1)</f>
        <v>-0.64999999999999991</v>
      </c>
    </row>
    <row r="13" spans="1:7">
      <c r="A13" t="s">
        <v>5</v>
      </c>
      <c r="B13" cm="1">
        <f t="array" ref="B13">INDEX(LINEST(B8:F8,B7:F7),2)</f>
        <v>6.65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EWEIG767 cc</dc:creator>
  <cp:lastModifiedBy>Skay Rim</cp:lastModifiedBy>
  <dcterms:created xsi:type="dcterms:W3CDTF">2015-06-05T18:19:34Z</dcterms:created>
  <dcterms:modified xsi:type="dcterms:W3CDTF">2026-03-02T18:53:37Z</dcterms:modified>
</cp:coreProperties>
</file>